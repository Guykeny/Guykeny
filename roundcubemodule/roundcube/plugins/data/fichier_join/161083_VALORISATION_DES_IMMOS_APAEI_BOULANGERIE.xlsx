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cd56c20505edb3/Documents/ENVOL GROUPE/PAIN DE CANNE/Divers/"/>
    </mc:Choice>
  </mc:AlternateContent>
  <xr:revisionPtr revIDLastSave="11" documentId="8_{9344F97B-CF56-4A01-B7F9-9B411074F245}" xr6:coauthVersionLast="47" xr6:coauthVersionMax="47" xr10:uidLastSave="{29787371-172D-4981-8174-1380B21A4F41}"/>
  <bookViews>
    <workbookView xWindow="-98" yWindow="-98" windowWidth="21795" windowHeight="12975" xr2:uid="{00000000-000D-0000-FFFF-FFFF00000000}"/>
  </bookViews>
  <sheets>
    <sheet name="Matériel évalué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D43" i="4"/>
  <c r="E40" i="4"/>
  <c r="D40" i="4"/>
  <c r="E37" i="4"/>
  <c r="D37" i="4"/>
</calcChain>
</file>

<file path=xl/sharedStrings.xml><?xml version="1.0" encoding="utf-8"?>
<sst xmlns="http://schemas.openxmlformats.org/spreadsheetml/2006/main" count="42" uniqueCount="41">
  <si>
    <r>
      <rPr>
        <b/>
        <sz val="10.5"/>
        <color rgb="FF313131"/>
        <rFont val="Arial"/>
        <family val="2"/>
      </rPr>
      <t>Exploitation</t>
    </r>
  </si>
  <si>
    <r>
      <rPr>
        <b/>
        <sz val="10.5"/>
        <color rgb="FF313131"/>
        <rFont val="Arial"/>
        <family val="2"/>
      </rPr>
      <t>Réalisation</t>
    </r>
  </si>
  <si>
    <r>
      <rPr>
        <sz val="10.5"/>
        <color rgb="FF313131"/>
        <rFont val="Arial"/>
        <family val="2"/>
      </rPr>
      <t xml:space="preserve">- 1 Four mixte ELECTROLUX  ELX de 2007 n°7290000
</t>
    </r>
    <r>
      <rPr>
        <sz val="10.5"/>
        <color rgb="FF313131"/>
        <rFont val="Arial"/>
        <family val="2"/>
      </rPr>
      <t>avec support inox</t>
    </r>
  </si>
  <si>
    <r>
      <rPr>
        <sz val="10.5"/>
        <color rgb="FF1F1F1F"/>
        <rFont val="Arial"/>
        <family val="2"/>
      </rPr>
      <t>- 1 Split CONFORT AIR et  AIRWELL  24000 BTU</t>
    </r>
  </si>
  <si>
    <r>
      <rPr>
        <sz val="10.5"/>
        <color rgb="FF1F1F1F"/>
        <rFont val="Arial"/>
        <family val="2"/>
      </rPr>
      <t>- 1 Batteur GECOMA  BT 20 B de 2019 n°1904564</t>
    </r>
  </si>
  <si>
    <r>
      <rPr>
        <sz val="10.5"/>
        <color rgb="FF1F1F1F"/>
        <rFont val="Arial"/>
        <family val="2"/>
      </rPr>
      <t>- 1 Laminoir TOF 520 de 2018 n°18018</t>
    </r>
  </si>
  <si>
    <r>
      <rPr>
        <sz val="10.5"/>
        <color rgb="FF1F1F1F"/>
        <rFont val="Arial"/>
        <family val="2"/>
      </rPr>
      <t>- 1 Table inox 2 m avec dosseret et entretoise</t>
    </r>
  </si>
  <si>
    <r>
      <rPr>
        <sz val="10.5"/>
        <color rgb="FF1F1F1F"/>
        <rFont val="Arial"/>
        <family val="2"/>
      </rPr>
      <t xml:space="preserve">-  2 Etagères aluminium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>clayettes bleues</t>
    </r>
  </si>
  <si>
    <r>
      <rPr>
        <sz val="10.5"/>
        <color rgb="FF313131"/>
        <rFont val="Arial"/>
        <family val="2"/>
      </rPr>
      <t>- 1 Grill panini SOFRACA 19092 de 2019 n°6314</t>
    </r>
  </si>
  <si>
    <r>
      <rPr>
        <sz val="10.5"/>
        <color rgb="FF1F1F1F"/>
        <rFont val="Arial"/>
        <family val="2"/>
      </rPr>
      <t xml:space="preserve">- 1 Etagère d'applique inox LINKRICH 1.2  M
</t>
    </r>
    <r>
      <rPr>
        <sz val="10.5"/>
        <color rgb="FF1F1F1F"/>
        <rFont val="Arial"/>
        <family val="2"/>
      </rPr>
      <t>-  1 Balance électronique  15 kgs OHRIUS</t>
    </r>
  </si>
  <si>
    <r>
      <rPr>
        <sz val="10.5"/>
        <color rgb="FF1F1F1F"/>
        <rFont val="Arial"/>
        <family val="2"/>
      </rPr>
      <t>- 1 Balance électronique SERENITE B3C pesage</t>
    </r>
  </si>
  <si>
    <r>
      <rPr>
        <sz val="10.5"/>
        <color rgb="FF1F1F1F"/>
        <rFont val="Arial"/>
        <family val="2"/>
      </rPr>
      <t xml:space="preserve">- 1 Plaque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>induction HENDI</t>
    </r>
  </si>
  <si>
    <r>
      <rPr>
        <sz val="10.5"/>
        <color rgb="FF1F1F1F"/>
        <rFont val="Arial"/>
        <family val="2"/>
      </rPr>
      <t>- 1 Etagère d'applique inox 2 m</t>
    </r>
  </si>
  <si>
    <r>
      <rPr>
        <sz val="10.5"/>
        <color rgb="FF313131"/>
        <rFont val="Arial"/>
        <family val="2"/>
      </rPr>
      <t xml:space="preserve">- </t>
    </r>
    <r>
      <rPr>
        <sz val="10.5"/>
        <color rgb="FF1F1F1F"/>
        <rFont val="Arial"/>
        <family val="2"/>
      </rPr>
      <t xml:space="preserve">1 Echelle inox 20 niveaux
</t>
    </r>
    <r>
      <rPr>
        <sz val="10.5"/>
        <color rgb="FF1F1F1F"/>
        <rFont val="Arial"/>
        <family val="2"/>
      </rPr>
      <t>- 1 Table inox 2 m avec entretoise</t>
    </r>
  </si>
  <si>
    <r>
      <rPr>
        <sz val="10.5"/>
        <color rgb="FF1F1F1F"/>
        <rFont val="Arial"/>
        <family val="2"/>
      </rPr>
      <t xml:space="preserve">-  2 Extincteurs
</t>
    </r>
    <r>
      <rPr>
        <sz val="10.5"/>
        <color rgb="FF1F1F1F"/>
        <rFont val="Arial"/>
        <family val="2"/>
      </rPr>
      <t>- 1 Couverture incendie</t>
    </r>
  </si>
  <si>
    <r>
      <rPr>
        <sz val="10.5"/>
        <color rgb="FF1F1F1F"/>
        <rFont val="Arial"/>
        <family val="2"/>
      </rPr>
      <t xml:space="preserve">SALLE
</t>
    </r>
    <r>
      <rPr>
        <sz val="10.5"/>
        <color rgb="FF1F1F1F"/>
        <rFont val="Arial"/>
        <family val="2"/>
      </rPr>
      <t xml:space="preserve">- 1  Panneau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 xml:space="preserve">craie
</t>
    </r>
    <r>
      <rPr>
        <sz val="10.5"/>
        <color rgb="FF1F1F1F"/>
        <rFont val="Arial"/>
        <family val="2"/>
      </rPr>
      <t xml:space="preserve">- 1 Pot en terre cuite 80 cm
</t>
    </r>
    <r>
      <rPr>
        <sz val="10.5"/>
        <color rgb="FF313131"/>
        <rFont val="Arial"/>
        <family val="2"/>
      </rPr>
      <t xml:space="preserve">- </t>
    </r>
    <r>
      <rPr>
        <sz val="10.5"/>
        <color rgb="FF1F1F1F"/>
        <rFont val="Arial"/>
        <family val="2"/>
      </rPr>
      <t>1 Tonneau de rhum</t>
    </r>
  </si>
  <si>
    <r>
      <rPr>
        <sz val="10.5"/>
        <color rgb="FF1F1F1F"/>
        <rFont val="Arial"/>
        <family val="2"/>
      </rPr>
      <t xml:space="preserve">VICTOIRE ET DES SAVEURS  (AGRO TRANSF/SAVEUR PEYI)
</t>
    </r>
    <r>
      <rPr>
        <sz val="10.5"/>
        <color rgb="FF1F1F1F"/>
        <rFont val="Arial"/>
        <family val="2"/>
      </rPr>
      <t xml:space="preserve">-  2 Bambous artificiels
</t>
    </r>
    <r>
      <rPr>
        <sz val="10.5"/>
        <color rgb="FF1F1F1F"/>
        <rFont val="Arial"/>
        <family val="2"/>
      </rPr>
      <t xml:space="preserve">- 3 Bocaux verre
</t>
    </r>
    <r>
      <rPr>
        <sz val="10.5"/>
        <color rgb="FF313131"/>
        <rFont val="Arial"/>
        <family val="2"/>
      </rPr>
      <t xml:space="preserve">- </t>
    </r>
    <r>
      <rPr>
        <sz val="10.5"/>
        <color rgb="FF1F1F1F"/>
        <rFont val="Arial"/>
        <family val="2"/>
      </rPr>
      <t xml:space="preserve">1 Panneau arrondi bois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>craie</t>
    </r>
  </si>
  <si>
    <r>
      <rPr>
        <sz val="10.5"/>
        <color rgb="FF1F1F1F"/>
        <rFont val="Arial"/>
        <family val="2"/>
      </rPr>
      <t xml:space="preserve">-  2 Horloges de décoration
</t>
    </r>
    <r>
      <rPr>
        <sz val="10.5"/>
        <color rgb="FF1F1F1F"/>
        <rFont val="Arial"/>
        <family val="2"/>
      </rPr>
      <t xml:space="preserve">- 1 Miroir décoration
</t>
    </r>
    <r>
      <rPr>
        <sz val="10.5"/>
        <color rgb="FF1F1F1F"/>
        <rFont val="Arial"/>
        <family val="2"/>
      </rPr>
      <t xml:space="preserve">- 4 Appliques décoration
</t>
    </r>
    <r>
      <rPr>
        <sz val="10.5"/>
        <color rgb="FF1F1F1F"/>
        <rFont val="Arial"/>
        <family val="2"/>
      </rPr>
      <t>- 1 Meuble bas teck 3 portes et 3 tiroirs</t>
    </r>
  </si>
  <si>
    <r>
      <rPr>
        <sz val="10.5"/>
        <color rgb="FF313131"/>
        <rFont val="Arial"/>
        <family val="2"/>
      </rPr>
      <t xml:space="preserve">- </t>
    </r>
    <r>
      <rPr>
        <sz val="10.5"/>
        <color rgb="FF1F1F1F"/>
        <rFont val="Arial"/>
        <family val="2"/>
      </rPr>
      <t>1 Etagère en teck 4 tiroirs</t>
    </r>
  </si>
  <si>
    <r>
      <rPr>
        <sz val="10.5"/>
        <color rgb="FF1F1F1F"/>
        <rFont val="Arial"/>
        <family val="2"/>
      </rPr>
      <t>- 1 Vitrine quatre faces SAGI</t>
    </r>
  </si>
  <si>
    <r>
      <rPr>
        <sz val="10.5"/>
        <color rgb="FF1F1F1F"/>
        <rFont val="Arial"/>
        <family val="2"/>
      </rPr>
      <t>-  2 Extincteurs</t>
    </r>
  </si>
  <si>
    <r>
      <rPr>
        <sz val="10.5"/>
        <color rgb="FF1F1F1F"/>
        <rFont val="Arial"/>
        <family val="2"/>
      </rPr>
      <t xml:space="preserve">- 1 Trancheur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>pain GECOMA</t>
    </r>
  </si>
  <si>
    <r>
      <rPr>
        <sz val="10.5"/>
        <color rgb="FF1F1F1F"/>
        <rFont val="Arial"/>
        <family val="2"/>
      </rPr>
      <t xml:space="preserve">- 1 Meuble évier en bois
</t>
    </r>
    <r>
      <rPr>
        <sz val="10.5"/>
        <color rgb="FF1F1F1F"/>
        <rFont val="Arial"/>
        <family val="2"/>
      </rPr>
      <t>- 1 Etagère en bois</t>
    </r>
  </si>
  <si>
    <r>
      <rPr>
        <sz val="10.5"/>
        <color rgb="FF1F1F1F"/>
        <rFont val="Arial"/>
        <family val="2"/>
      </rPr>
      <t>-  2 Destructeurs d'insectes</t>
    </r>
  </si>
  <si>
    <r>
      <rPr>
        <sz val="10.5"/>
        <color rgb="FF1F1F1F"/>
        <rFont val="Arial"/>
        <family val="2"/>
      </rPr>
      <t>- 1 Four électronique KULB ATTOLSPEED  de 2020</t>
    </r>
  </si>
  <si>
    <r>
      <rPr>
        <sz val="10.5"/>
        <color rgb="FF363636"/>
        <rFont val="Arial"/>
        <family val="2"/>
      </rPr>
      <t>- 1 Meuble arrière stratifié 3 portes coulissantes</t>
    </r>
  </si>
  <si>
    <r>
      <rPr>
        <sz val="10.5"/>
        <color rgb="FF1F1F1F"/>
        <rFont val="Arial"/>
        <family val="2"/>
      </rPr>
      <t>- 1 Echelle inox 20 niveaux 80x60</t>
    </r>
  </si>
  <si>
    <r>
      <rPr>
        <sz val="10.5"/>
        <color rgb="FF1F1F1F"/>
        <rFont val="Arial"/>
        <family val="2"/>
      </rPr>
      <t xml:space="preserve">RESERVE ET SALLE
</t>
    </r>
    <r>
      <rPr>
        <sz val="10.5"/>
        <color rgb="FF1F1F1F"/>
        <rFont val="Arial"/>
        <family val="2"/>
      </rPr>
      <t xml:space="preserve">-  10 Chaises résine perforé
</t>
    </r>
    <r>
      <rPr>
        <sz val="10.5"/>
        <color rgb="FF1F1F1F"/>
        <rFont val="Arial"/>
        <family val="2"/>
      </rPr>
      <t>- 1 Table résine deux places</t>
    </r>
  </si>
  <si>
    <r>
      <rPr>
        <sz val="10.5"/>
        <color rgb="FF1F1F1F"/>
        <rFont val="Arial"/>
        <family val="2"/>
      </rPr>
      <t xml:space="preserve">- 1 Lot de tables métalliques  rouge et vert
</t>
    </r>
    <r>
      <rPr>
        <sz val="10.5"/>
        <color rgb="FF1F1F1F"/>
        <rFont val="Arial"/>
        <family val="2"/>
      </rPr>
      <t xml:space="preserve">- 1 Lot de chaises
</t>
    </r>
    <r>
      <rPr>
        <sz val="10.5"/>
        <color rgb="FF1F1F1F"/>
        <rFont val="Arial"/>
        <family val="2"/>
      </rPr>
      <t xml:space="preserve">- 1 Terrasse en deck
</t>
    </r>
    <r>
      <rPr>
        <sz val="10.5"/>
        <color rgb="FF1F1F1F"/>
        <rFont val="Arial"/>
        <family val="2"/>
      </rPr>
      <t>- 1 Structure aluminium et toile tendue de 30 m2</t>
    </r>
  </si>
  <si>
    <r>
      <rPr>
        <sz val="10.5"/>
        <color rgb="FF1F1F1F"/>
        <rFont val="Arial"/>
        <family val="2"/>
      </rPr>
      <t xml:space="preserve">BOULANGERIE  VICTOIRE ET SAVEURS SAINT LOUIS DE MARIE GALANTE
</t>
    </r>
    <r>
      <rPr>
        <sz val="10.5"/>
        <color rgb="FF1F1F1F"/>
        <rFont val="Arial"/>
        <family val="2"/>
      </rPr>
      <t xml:space="preserve">-  1  Mixeur plongeant MP 350
</t>
    </r>
    <r>
      <rPr>
        <sz val="10.5"/>
        <color rgb="FF1F1F1F"/>
        <rFont val="Arial"/>
        <family val="2"/>
      </rPr>
      <t xml:space="preserve">-  2 Etagères métalliques
</t>
    </r>
    <r>
      <rPr>
        <sz val="10.5"/>
        <color rgb="FF1F1F1F"/>
        <rFont val="Arial"/>
        <family val="2"/>
      </rPr>
      <t xml:space="preserve">- 1 Split AIRWELL
</t>
    </r>
    <r>
      <rPr>
        <sz val="10.5"/>
        <color rgb="FF1F1F1F"/>
        <rFont val="Arial"/>
        <family val="2"/>
      </rPr>
      <t xml:space="preserve">-  1 Extincteur
</t>
    </r>
    <r>
      <rPr>
        <sz val="10.5"/>
        <color rgb="FF1F1F1F"/>
        <rFont val="Arial"/>
        <family val="2"/>
      </rPr>
      <t xml:space="preserve">- 1 Centrale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 xml:space="preserve">incendie
</t>
    </r>
    <r>
      <rPr>
        <sz val="10.5"/>
        <color rgb="FF1F1F1F"/>
        <rFont val="Arial"/>
        <family val="2"/>
      </rPr>
      <t xml:space="preserve">- 1 Meuble arrière stratifié quatre portes et angle avec
</t>
    </r>
    <r>
      <rPr>
        <b/>
        <sz val="10"/>
        <color rgb="FF1F1F1F"/>
        <rFont val="Arial"/>
        <family val="2"/>
      </rPr>
      <t xml:space="preserve">évier
</t>
    </r>
    <r>
      <rPr>
        <sz val="10.5"/>
        <color rgb="FF1F1F1F"/>
        <rFont val="Arial"/>
        <family val="2"/>
      </rPr>
      <t xml:space="preserve">- 1 Store </t>
    </r>
    <r>
      <rPr>
        <sz val="11.5"/>
        <color rgb="FF1F1F1F"/>
        <rFont val="Arial"/>
        <family val="2"/>
      </rPr>
      <t xml:space="preserve">à </t>
    </r>
    <r>
      <rPr>
        <sz val="10.5"/>
        <color rgb="FF1F1F1F"/>
        <rFont val="Arial"/>
        <family val="2"/>
      </rPr>
      <t xml:space="preserve">bras 5 m
</t>
    </r>
    <r>
      <rPr>
        <sz val="10.5"/>
        <color rgb="FF1F1F1F"/>
        <rFont val="Arial"/>
        <family val="2"/>
      </rPr>
      <t xml:space="preserve">-  3 Tables rondes résine
</t>
    </r>
    <r>
      <rPr>
        <sz val="10.5"/>
        <color rgb="FF1F1F1F"/>
        <rFont val="Arial"/>
        <family val="2"/>
      </rPr>
      <t xml:space="preserve">-  5 Chaises résine
</t>
    </r>
    <r>
      <rPr>
        <sz val="10.5"/>
        <color rgb="FF1F1F1F"/>
        <rFont val="Arial"/>
        <family val="2"/>
      </rPr>
      <t xml:space="preserve">-  3 Fauteuils résine
</t>
    </r>
    <r>
      <rPr>
        <sz val="10.5"/>
        <color rgb="FF1F1F1F"/>
        <rFont val="Arial"/>
        <family val="2"/>
      </rPr>
      <t xml:space="preserve">-  2 Plateaux mange debout en angle
</t>
    </r>
    <r>
      <rPr>
        <sz val="10.5"/>
        <color rgb="FF1F1F1F"/>
        <rFont val="Arial"/>
        <family val="2"/>
      </rPr>
      <t xml:space="preserve">-  4 Tabourets fer forgé pivotants
</t>
    </r>
    <r>
      <rPr>
        <sz val="10.5"/>
        <color rgb="FF1F1F1F"/>
        <rFont val="Arial"/>
        <family val="2"/>
      </rPr>
      <t xml:space="preserve">- 1 Horloge décoration fixée au mur
</t>
    </r>
    <r>
      <rPr>
        <sz val="10.5"/>
        <color rgb="FF1F1F1F"/>
        <rFont val="Arial"/>
        <family val="2"/>
      </rPr>
      <t xml:space="preserve">-  3 Lampes suspendues
</t>
    </r>
    <r>
      <rPr>
        <sz val="10.5"/>
        <color rgb="FF1F1F1F"/>
        <rFont val="Arial"/>
        <family val="2"/>
      </rPr>
      <t xml:space="preserve">-  4 Niches stratifié
</t>
    </r>
    <r>
      <rPr>
        <sz val="10.5"/>
        <color rgb="FF1F1F1F"/>
        <rFont val="Arial"/>
        <family val="2"/>
      </rPr>
      <t xml:space="preserve">- 3 Tableaux craie
</t>
    </r>
    <r>
      <rPr>
        <sz val="10.5"/>
        <color rgb="FF1F1F1F"/>
        <rFont val="Arial"/>
        <family val="2"/>
      </rPr>
      <t xml:space="preserve">-  2 Horloges grises et marron
</t>
    </r>
    <r>
      <rPr>
        <sz val="10.5"/>
        <color rgb="FF1F1F1F"/>
        <rFont val="Arial"/>
        <family val="2"/>
      </rPr>
      <t>- 1 TPV SUNMI</t>
    </r>
  </si>
  <si>
    <t>AGRO</t>
  </si>
  <si>
    <r>
      <rPr>
        <sz val="10.5"/>
        <color rgb="FF1D1D1D"/>
        <rFont val="Arial"/>
        <family val="2"/>
      </rPr>
      <t xml:space="preserve"> - 1 Trancheur </t>
    </r>
    <r>
      <rPr>
        <sz val="11"/>
        <color rgb="FF1D1D1D"/>
        <rFont val="Arial"/>
        <family val="2"/>
      </rPr>
      <t xml:space="preserve">à </t>
    </r>
    <r>
      <rPr>
        <sz val="10.5"/>
        <color rgb="FF1D1D1D"/>
        <rFont val="Arial"/>
        <family val="2"/>
      </rPr>
      <t>jambon LINKRICH MS 250 ST de 2018 n°201805012</t>
    </r>
  </si>
  <si>
    <t xml:space="preserve"> - 1 Tableau  blanc</t>
  </si>
  <si>
    <t>MOBILIER ET MATERIEL</t>
  </si>
  <si>
    <t xml:space="preserve"> - 1 TPV</t>
  </si>
  <si>
    <t xml:space="preserve"> -4 Vestiaires</t>
  </si>
  <si>
    <t xml:space="preserve"> -2 Splits dans la salle</t>
  </si>
  <si>
    <t>TOTAL</t>
  </si>
  <si>
    <t>TOTAL GENERAL</t>
  </si>
  <si>
    <t>GB</t>
  </si>
  <si>
    <t>ST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</si>
</sst>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21" x14ac:knownFonts="1">
    <font>
      <sz val="10"/>
      <color rgb="FF000000"/>
      <name val="Times New Roman"/>
      <charset val="204"/>
    </font>
    <font>
      <i/>
      <sz val="12"/>
      <name val="Times New Roman"/>
      <family val="1"/>
    </font>
    <font>
      <b/>
      <sz val="10.5"/>
      <name val="Arial"/>
      <family val="2"/>
    </font>
    <font>
      <sz val="10.5"/>
      <color rgb="FF313131"/>
      <name val="Arial"/>
      <family val="2"/>
    </font>
    <font>
      <sz val="10.5"/>
      <color rgb="FF1D1D1D"/>
      <name val="Arial"/>
      <family val="2"/>
    </font>
    <font>
      <sz val="10.5"/>
      <name val="Arial"/>
      <family val="2"/>
    </font>
    <font>
      <sz val="10"/>
      <color rgb="FF1D1D1D"/>
      <name val="Arial"/>
      <family val="2"/>
    </font>
    <font>
      <b/>
      <sz val="10"/>
      <name val="Arial"/>
      <family val="2"/>
    </font>
    <font>
      <sz val="10.5"/>
      <color rgb="FF1F1F1F"/>
      <name val="Arial"/>
      <family val="2"/>
    </font>
    <font>
      <sz val="10.5"/>
      <color rgb="FF2F2F2F"/>
      <name val="Arial"/>
      <family val="2"/>
    </font>
    <font>
      <sz val="10.5"/>
      <color rgb="FF363636"/>
      <name val="Arial"/>
      <family val="2"/>
    </font>
    <font>
      <b/>
      <sz val="10.5"/>
      <color rgb="FF1F1F1F"/>
      <name val="Arial"/>
      <family val="2"/>
    </font>
    <font>
      <b/>
      <sz val="10"/>
      <color rgb="FF1F1F1F"/>
      <name val="Arial"/>
      <family val="2"/>
    </font>
    <font>
      <b/>
      <sz val="10.5"/>
      <color rgb="FF313131"/>
      <name val="Arial"/>
      <family val="2"/>
    </font>
    <font>
      <b/>
      <sz val="10.5"/>
      <color rgb="FF1D1D1D"/>
      <name val="Arial"/>
      <family val="2"/>
    </font>
    <font>
      <sz val="11.5"/>
      <color rgb="FF1F1F1F"/>
      <name val="Arial"/>
      <family val="2"/>
    </font>
    <font>
      <b/>
      <sz val="10.5"/>
      <color rgb="FF2F2F2F"/>
      <name val="Arial"/>
      <family val="2"/>
    </font>
    <font>
      <sz val="11"/>
      <color rgb="FF1D1D1D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.5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4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/>
    </xf>
    <xf numFmtId="44" fontId="2" fillId="0" borderId="1" xfId="1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left" vertical="top"/>
    </xf>
    <xf numFmtId="1" fontId="4" fillId="0" borderId="0" xfId="0" applyNumberFormat="1" applyFont="1" applyAlignment="1">
      <alignment horizontal="center" vertical="top" shrinkToFit="1"/>
    </xf>
    <xf numFmtId="1" fontId="9" fillId="0" borderId="0" xfId="0" applyNumberFormat="1" applyFont="1" applyAlignment="1">
      <alignment horizontal="center" vertical="top" shrinkToFit="1"/>
    </xf>
    <xf numFmtId="44" fontId="9" fillId="0" borderId="0" xfId="1" applyFont="1" applyBorder="1" applyAlignment="1">
      <alignment horizontal="right" vertical="top" shrinkToFit="1"/>
    </xf>
    <xf numFmtId="1" fontId="14" fillId="0" borderId="5" xfId="0" applyNumberFormat="1" applyFont="1" applyBorder="1" applyAlignment="1">
      <alignment horizontal="center" vertical="top" shrinkToFit="1"/>
    </xf>
    <xf numFmtId="0" fontId="19" fillId="0" borderId="5" xfId="0" applyFont="1" applyBorder="1" applyAlignment="1">
      <alignment horizontal="left" vertical="top" wrapText="1" indent="1"/>
    </xf>
    <xf numFmtId="44" fontId="16" fillId="0" borderId="5" xfId="1" applyFont="1" applyBorder="1" applyAlignment="1">
      <alignment horizontal="center" vertical="top" shrinkToFit="1"/>
    </xf>
    <xf numFmtId="4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4" fillId="0" borderId="5" xfId="0" applyNumberFormat="1" applyFont="1" applyBorder="1" applyAlignment="1">
      <alignment vertical="top" shrinkToFit="1"/>
    </xf>
    <xf numFmtId="0" fontId="4" fillId="0" borderId="5" xfId="0" applyFont="1" applyBorder="1" applyAlignment="1">
      <alignment vertical="top" wrapText="1"/>
    </xf>
    <xf numFmtId="164" fontId="4" fillId="0" borderId="5" xfId="1" applyNumberFormat="1" applyFont="1" applyBorder="1" applyAlignment="1">
      <alignment horizontal="right" vertical="center" shrinkToFit="1"/>
    </xf>
    <xf numFmtId="164" fontId="4" fillId="0" borderId="5" xfId="1" applyNumberFormat="1" applyFont="1" applyBorder="1" applyAlignment="1">
      <alignment vertical="center" shrinkToFit="1"/>
    </xf>
    <xf numFmtId="0" fontId="6" fillId="0" borderId="5" xfId="0" applyFont="1" applyBorder="1" applyAlignment="1">
      <alignment vertical="top" wrapText="1"/>
    </xf>
    <xf numFmtId="1" fontId="3" fillId="0" borderId="5" xfId="0" applyNumberFormat="1" applyFont="1" applyBorder="1" applyAlignment="1">
      <alignment vertical="top" shrinkToFit="1"/>
    </xf>
    <xf numFmtId="0" fontId="0" fillId="0" borderId="5" xfId="0" applyBorder="1" applyAlignment="1">
      <alignment vertical="top" wrapText="1"/>
    </xf>
    <xf numFmtId="164" fontId="5" fillId="0" borderId="5" xfId="1" applyNumberFormat="1" applyFont="1" applyBorder="1" applyAlignment="1">
      <alignment horizontal="right" vertical="center" wrapText="1"/>
    </xf>
    <xf numFmtId="164" fontId="5" fillId="0" borderId="5" xfId="1" applyNumberFormat="1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164" fontId="8" fillId="0" borderId="5" xfId="1" applyNumberFormat="1" applyFont="1" applyBorder="1" applyAlignment="1">
      <alignment horizontal="right" vertical="center" shrinkToFit="1"/>
    </xf>
    <xf numFmtId="164" fontId="8" fillId="0" borderId="5" xfId="1" applyNumberFormat="1" applyFont="1" applyBorder="1" applyAlignment="1">
      <alignment vertical="top" shrinkToFit="1"/>
    </xf>
    <xf numFmtId="1" fontId="8" fillId="0" borderId="5" xfId="0" applyNumberFormat="1" applyFont="1" applyBorder="1" applyAlignment="1">
      <alignment vertical="top" shrinkToFit="1"/>
    </xf>
    <xf numFmtId="164" fontId="8" fillId="0" borderId="5" xfId="1" applyNumberFormat="1" applyFont="1" applyBorder="1" applyAlignment="1">
      <alignment vertical="center" shrinkToFit="1"/>
    </xf>
    <xf numFmtId="164" fontId="3" fillId="0" borderId="5" xfId="1" applyNumberFormat="1" applyFont="1" applyBorder="1" applyAlignment="1">
      <alignment horizontal="right" vertical="center" shrinkToFit="1"/>
    </xf>
    <xf numFmtId="164" fontId="3" fillId="0" borderId="5" xfId="1" applyNumberFormat="1" applyFont="1" applyBorder="1" applyAlignment="1">
      <alignment vertical="center" shrinkToFit="1"/>
    </xf>
    <xf numFmtId="1" fontId="11" fillId="0" borderId="5" xfId="0" applyNumberFormat="1" applyFont="1" applyBorder="1" applyAlignment="1">
      <alignment vertical="top" shrinkToFit="1"/>
    </xf>
    <xf numFmtId="164" fontId="5" fillId="0" borderId="5" xfId="1" applyNumberFormat="1" applyFont="1" applyBorder="1" applyAlignment="1">
      <alignment vertical="top" wrapText="1"/>
    </xf>
    <xf numFmtId="1" fontId="10" fillId="0" borderId="5" xfId="0" applyNumberFormat="1" applyFont="1" applyBorder="1" applyAlignment="1">
      <alignment vertical="top" shrinkToFit="1"/>
    </xf>
    <xf numFmtId="1" fontId="8" fillId="0" borderId="5" xfId="0" applyNumberFormat="1" applyFont="1" applyBorder="1" applyAlignment="1">
      <alignment horizontal="center" vertical="top" shrinkToFit="1"/>
    </xf>
    <xf numFmtId="1" fontId="12" fillId="0" borderId="5" xfId="0" applyNumberFormat="1" applyFont="1" applyBorder="1" applyAlignment="1">
      <alignment vertical="top" shrinkToFit="1"/>
    </xf>
    <xf numFmtId="44" fontId="7" fillId="0" borderId="5" xfId="1" applyFont="1" applyBorder="1" applyAlignment="1">
      <alignment vertical="center" wrapText="1"/>
    </xf>
    <xf numFmtId="164" fontId="20" fillId="0" borderId="5" xfId="1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top"/>
    </xf>
    <xf numFmtId="44" fontId="19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44" fontId="1" fillId="0" borderId="3" xfId="1" applyFont="1" applyBorder="1" applyAlignment="1">
      <alignment horizontal="center" vertical="top" wrapText="1"/>
    </xf>
    <xf numFmtId="44" fontId="1" fillId="0" borderId="4" xfId="1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E0E1-EFC8-4475-A718-3A32E487F789}">
  <dimension ref="A3:F43"/>
  <sheetViews>
    <sheetView tabSelected="1" topLeftCell="A39" workbookViewId="0">
      <selection activeCell="H40" sqref="H40"/>
    </sheetView>
  </sheetViews>
  <sheetFormatPr baseColWidth="10" defaultRowHeight="13.15" x14ac:dyDescent="0.4"/>
  <cols>
    <col min="3" max="3" width="64" bestFit="1" customWidth="1"/>
    <col min="4" max="4" width="21" bestFit="1" customWidth="1"/>
    <col min="5" max="5" width="14.85546875" style="6" customWidth="1"/>
  </cols>
  <sheetData>
    <row r="3" spans="1:5" ht="15.4" x14ac:dyDescent="0.4">
      <c r="B3" s="40" t="s">
        <v>33</v>
      </c>
      <c r="C3" s="41"/>
      <c r="D3" s="1" t="s">
        <v>0</v>
      </c>
      <c r="E3" s="3" t="s">
        <v>1</v>
      </c>
    </row>
    <row r="4" spans="1:5" ht="15.4" x14ac:dyDescent="0.4">
      <c r="B4" s="42" t="s">
        <v>30</v>
      </c>
      <c r="C4" s="43"/>
      <c r="D4" s="43"/>
      <c r="E4" s="43"/>
    </row>
    <row r="5" spans="1:5" ht="13.8" customHeight="1" x14ac:dyDescent="0.4">
      <c r="A5" s="45" t="s">
        <v>39</v>
      </c>
      <c r="B5" s="15">
        <v>180</v>
      </c>
      <c r="C5" s="16" t="s">
        <v>32</v>
      </c>
      <c r="D5" s="17">
        <v>80</v>
      </c>
      <c r="E5" s="18">
        <v>60</v>
      </c>
    </row>
    <row r="6" spans="1:5" ht="13.8" customHeight="1" x14ac:dyDescent="0.4">
      <c r="A6" s="44"/>
      <c r="B6" s="15">
        <v>196</v>
      </c>
      <c r="C6" s="19" t="s">
        <v>31</v>
      </c>
      <c r="D6" s="17">
        <v>300</v>
      </c>
      <c r="E6" s="18">
        <v>250</v>
      </c>
    </row>
    <row r="7" spans="1:5" ht="31.8" customHeight="1" x14ac:dyDescent="0.4">
      <c r="A7" s="44"/>
      <c r="B7" s="20">
        <v>202</v>
      </c>
      <c r="C7" s="21" t="s">
        <v>2</v>
      </c>
      <c r="D7" s="22">
        <v>3000</v>
      </c>
      <c r="E7" s="23">
        <v>2000</v>
      </c>
    </row>
    <row r="8" spans="1:5" ht="13.8" customHeight="1" x14ac:dyDescent="0.4">
      <c r="A8" s="44"/>
      <c r="B8" s="20">
        <v>212</v>
      </c>
      <c r="C8" s="24" t="s">
        <v>3</v>
      </c>
      <c r="D8" s="25">
        <v>600</v>
      </c>
      <c r="E8" s="26">
        <v>450</v>
      </c>
    </row>
    <row r="9" spans="1:5" ht="13.8" customHeight="1" x14ac:dyDescent="0.4">
      <c r="A9" s="44"/>
      <c r="B9" s="27">
        <v>223</v>
      </c>
      <c r="C9" s="24" t="s">
        <v>4</v>
      </c>
      <c r="D9" s="22">
        <v>1000</v>
      </c>
      <c r="E9" s="26">
        <v>600</v>
      </c>
    </row>
    <row r="10" spans="1:5" ht="13.8" customHeight="1" x14ac:dyDescent="0.4">
      <c r="A10" s="44"/>
      <c r="B10" s="27">
        <v>227</v>
      </c>
      <c r="C10" s="24" t="s">
        <v>5</v>
      </c>
      <c r="D10" s="25">
        <v>500</v>
      </c>
      <c r="E10" s="26">
        <v>350</v>
      </c>
    </row>
    <row r="11" spans="1:5" ht="13.8" customHeight="1" x14ac:dyDescent="0.4">
      <c r="A11" s="44"/>
      <c r="B11" s="27">
        <v>228</v>
      </c>
      <c r="C11" s="24" t="s">
        <v>6</v>
      </c>
      <c r="D11" s="25">
        <v>400</v>
      </c>
      <c r="E11" s="26">
        <v>350</v>
      </c>
    </row>
    <row r="12" spans="1:5" ht="13.8" customHeight="1" x14ac:dyDescent="0.4">
      <c r="A12" s="44"/>
      <c r="B12" s="27">
        <v>230</v>
      </c>
      <c r="C12" s="21" t="s">
        <v>7</v>
      </c>
      <c r="D12" s="25">
        <v>400</v>
      </c>
      <c r="E12" s="26">
        <v>350</v>
      </c>
    </row>
    <row r="13" spans="1:5" ht="13.8" customHeight="1" x14ac:dyDescent="0.4">
      <c r="A13" s="44"/>
      <c r="B13" s="27">
        <v>232</v>
      </c>
      <c r="C13" s="24" t="s">
        <v>8</v>
      </c>
      <c r="D13" s="25">
        <v>200</v>
      </c>
      <c r="E13" s="26">
        <v>150</v>
      </c>
    </row>
    <row r="14" spans="1:5" ht="13.8" customHeight="1" x14ac:dyDescent="0.4">
      <c r="A14" s="44"/>
      <c r="B14" s="27">
        <v>233</v>
      </c>
      <c r="C14" s="21" t="s">
        <v>9</v>
      </c>
      <c r="D14" s="25">
        <v>200</v>
      </c>
      <c r="E14" s="28">
        <v>150</v>
      </c>
    </row>
    <row r="15" spans="1:5" ht="13.8" customHeight="1" x14ac:dyDescent="0.4">
      <c r="A15" s="44"/>
      <c r="B15" s="20">
        <v>235</v>
      </c>
      <c r="C15" s="24" t="s">
        <v>10</v>
      </c>
      <c r="D15" s="25">
        <v>220</v>
      </c>
      <c r="E15" s="26">
        <v>180</v>
      </c>
    </row>
    <row r="16" spans="1:5" ht="13.8" customHeight="1" x14ac:dyDescent="0.4">
      <c r="A16" s="44"/>
      <c r="B16" s="27">
        <v>237</v>
      </c>
      <c r="C16" s="21" t="s">
        <v>11</v>
      </c>
      <c r="D16" s="25">
        <v>150</v>
      </c>
      <c r="E16" s="26">
        <v>100</v>
      </c>
    </row>
    <row r="17" spans="1:5" ht="13.8" customHeight="1" x14ac:dyDescent="0.4">
      <c r="A17" s="44"/>
      <c r="B17" s="27">
        <v>239</v>
      </c>
      <c r="C17" s="24" t="s">
        <v>12</v>
      </c>
      <c r="D17" s="25">
        <v>250</v>
      </c>
      <c r="E17" s="26">
        <v>180</v>
      </c>
    </row>
    <row r="18" spans="1:5" ht="13.8" customHeight="1" x14ac:dyDescent="0.4">
      <c r="A18" s="44"/>
      <c r="B18" s="27">
        <v>240</v>
      </c>
      <c r="C18" s="21" t="s">
        <v>13</v>
      </c>
      <c r="D18" s="29">
        <v>400</v>
      </c>
      <c r="E18" s="30">
        <v>350</v>
      </c>
    </row>
    <row r="19" spans="1:5" ht="30" customHeight="1" x14ac:dyDescent="0.4">
      <c r="A19" s="44"/>
      <c r="B19" s="27">
        <v>241</v>
      </c>
      <c r="C19" s="21" t="s">
        <v>14</v>
      </c>
      <c r="D19" s="25">
        <v>200</v>
      </c>
      <c r="E19" s="28">
        <v>150</v>
      </c>
    </row>
    <row r="20" spans="1:5" ht="13.8" customHeight="1" x14ac:dyDescent="0.4">
      <c r="A20" s="44"/>
      <c r="B20" s="20">
        <v>242</v>
      </c>
      <c r="C20" s="21" t="s">
        <v>15</v>
      </c>
      <c r="D20" s="25">
        <v>300</v>
      </c>
      <c r="E20" s="28">
        <v>250</v>
      </c>
    </row>
    <row r="21" spans="1:5" ht="54" x14ac:dyDescent="0.4">
      <c r="A21" s="44"/>
      <c r="B21" s="27">
        <v>243</v>
      </c>
      <c r="C21" s="21" t="s">
        <v>16</v>
      </c>
      <c r="D21" s="25">
        <v>250</v>
      </c>
      <c r="E21" s="28">
        <v>200</v>
      </c>
    </row>
    <row r="22" spans="1:5" ht="13.8" customHeight="1" x14ac:dyDescent="0.4">
      <c r="A22" s="44"/>
      <c r="B22" s="27">
        <v>246</v>
      </c>
      <c r="C22" s="21" t="s">
        <v>17</v>
      </c>
      <c r="D22" s="25">
        <v>600</v>
      </c>
      <c r="E22" s="28">
        <v>400</v>
      </c>
    </row>
    <row r="23" spans="1:5" ht="13.8" customHeight="1" x14ac:dyDescent="0.4">
      <c r="A23" s="44"/>
      <c r="B23" s="31">
        <v>247</v>
      </c>
      <c r="C23" s="24" t="s">
        <v>18</v>
      </c>
      <c r="D23" s="25">
        <v>400</v>
      </c>
      <c r="E23" s="26">
        <v>350</v>
      </c>
    </row>
    <row r="24" spans="1:5" ht="13.8" customHeight="1" x14ac:dyDescent="0.4">
      <c r="A24" s="44"/>
      <c r="B24" s="27">
        <v>248</v>
      </c>
      <c r="C24" s="24" t="s">
        <v>19</v>
      </c>
      <c r="D24" s="22">
        <v>1200</v>
      </c>
      <c r="E24" s="26">
        <v>800</v>
      </c>
    </row>
    <row r="25" spans="1:5" ht="13.8" customHeight="1" x14ac:dyDescent="0.4">
      <c r="A25" s="44"/>
      <c r="B25" s="27">
        <v>252</v>
      </c>
      <c r="C25" s="24" t="s">
        <v>20</v>
      </c>
      <c r="D25" s="25">
        <v>40</v>
      </c>
      <c r="E25" s="26">
        <v>30</v>
      </c>
    </row>
    <row r="26" spans="1:5" ht="13.8" customHeight="1" x14ac:dyDescent="0.4">
      <c r="A26" s="44"/>
      <c r="B26" s="27">
        <v>253</v>
      </c>
      <c r="C26" s="21" t="s">
        <v>21</v>
      </c>
      <c r="D26" s="22">
        <v>1200</v>
      </c>
      <c r="E26" s="26">
        <v>800</v>
      </c>
    </row>
    <row r="27" spans="1:5" ht="13.8" customHeight="1" x14ac:dyDescent="0.4">
      <c r="A27" s="44"/>
      <c r="B27" s="27">
        <v>254</v>
      </c>
      <c r="C27" s="21" t="s">
        <v>22</v>
      </c>
      <c r="D27" s="25">
        <v>200</v>
      </c>
      <c r="E27" s="28">
        <v>150</v>
      </c>
    </row>
    <row r="28" spans="1:5" ht="13.8" customHeight="1" x14ac:dyDescent="0.4">
      <c r="A28" s="44"/>
      <c r="B28" s="27">
        <v>255</v>
      </c>
      <c r="C28" s="24" t="s">
        <v>23</v>
      </c>
      <c r="D28" s="25">
        <v>120</v>
      </c>
      <c r="E28" s="26">
        <v>100</v>
      </c>
    </row>
    <row r="29" spans="1:5" ht="13.8" customHeight="1" x14ac:dyDescent="0.4">
      <c r="A29" s="44"/>
      <c r="B29" s="27">
        <v>256</v>
      </c>
      <c r="C29" s="24" t="s">
        <v>24</v>
      </c>
      <c r="D29" s="22">
        <v>2500</v>
      </c>
      <c r="E29" s="32">
        <v>1500</v>
      </c>
    </row>
    <row r="30" spans="1:5" ht="13.8" customHeight="1" x14ac:dyDescent="0.4">
      <c r="A30" s="44"/>
      <c r="B30" s="33">
        <v>257</v>
      </c>
      <c r="C30" s="24" t="s">
        <v>25</v>
      </c>
      <c r="D30" s="22">
        <v>3000</v>
      </c>
      <c r="E30" s="32">
        <v>1500</v>
      </c>
    </row>
    <row r="31" spans="1:5" ht="13.8" customHeight="1" x14ac:dyDescent="0.4">
      <c r="A31" s="44"/>
      <c r="B31" s="33">
        <v>258</v>
      </c>
      <c r="C31" s="24" t="s">
        <v>26</v>
      </c>
      <c r="D31" s="22">
        <v>300</v>
      </c>
      <c r="E31" s="26">
        <v>200</v>
      </c>
    </row>
    <row r="32" spans="1:5" x14ac:dyDescent="0.4">
      <c r="A32" s="44"/>
      <c r="B32" s="27">
        <v>259</v>
      </c>
      <c r="C32" s="27" t="s">
        <v>34</v>
      </c>
      <c r="D32" s="25">
        <v>450</v>
      </c>
      <c r="E32" s="26">
        <v>350</v>
      </c>
    </row>
    <row r="33" spans="1:6" ht="13.8" customHeight="1" x14ac:dyDescent="0.4">
      <c r="A33" s="44"/>
      <c r="B33" s="27">
        <v>261</v>
      </c>
      <c r="C33" s="21" t="s">
        <v>27</v>
      </c>
      <c r="D33" s="25">
        <v>600</v>
      </c>
      <c r="E33" s="28">
        <v>400</v>
      </c>
    </row>
    <row r="34" spans="1:6" x14ac:dyDescent="0.4">
      <c r="A34" s="44"/>
      <c r="B34" s="27">
        <v>262</v>
      </c>
      <c r="C34" s="27" t="s">
        <v>35</v>
      </c>
      <c r="D34" s="25">
        <v>300</v>
      </c>
      <c r="E34" s="26">
        <v>200</v>
      </c>
      <c r="F34" s="13"/>
    </row>
    <row r="35" spans="1:6" ht="13.8" customHeight="1" x14ac:dyDescent="0.4">
      <c r="A35" s="44"/>
      <c r="B35" s="33">
        <v>263</v>
      </c>
      <c r="C35" s="33" t="s">
        <v>36</v>
      </c>
      <c r="D35" s="22">
        <v>1000</v>
      </c>
      <c r="E35" s="26">
        <v>500</v>
      </c>
      <c r="F35" s="13"/>
    </row>
    <row r="36" spans="1:6" ht="52.5" x14ac:dyDescent="0.4">
      <c r="A36" s="44"/>
      <c r="B36" s="27">
        <v>264</v>
      </c>
      <c r="C36" s="21" t="s">
        <v>28</v>
      </c>
      <c r="D36" s="22">
        <v>5000</v>
      </c>
      <c r="E36" s="23">
        <v>2000</v>
      </c>
      <c r="F36" s="14"/>
    </row>
    <row r="37" spans="1:6" ht="13.5" x14ac:dyDescent="0.4">
      <c r="A37" s="2"/>
      <c r="B37" s="34"/>
      <c r="C37" s="11" t="s">
        <v>37</v>
      </c>
      <c r="D37" s="37">
        <f>SUM(D5:D36)</f>
        <v>25360</v>
      </c>
      <c r="E37" s="37">
        <f>SUM(E5:E36)</f>
        <v>15400</v>
      </c>
    </row>
    <row r="38" spans="1:6" x14ac:dyDescent="0.4">
      <c r="A38" s="5"/>
      <c r="B38" s="7"/>
      <c r="C38" s="4"/>
      <c r="D38" s="8"/>
      <c r="E38" s="9"/>
    </row>
    <row r="39" spans="1:6" ht="396" customHeight="1" x14ac:dyDescent="0.4">
      <c r="A39" s="46" t="s">
        <v>40</v>
      </c>
      <c r="B39" s="35">
        <v>420</v>
      </c>
      <c r="C39" s="21" t="s">
        <v>29</v>
      </c>
      <c r="D39" s="36">
        <v>6000</v>
      </c>
      <c r="E39" s="36">
        <v>3000</v>
      </c>
    </row>
    <row r="40" spans="1:6" ht="13.5" x14ac:dyDescent="0.4">
      <c r="B40" s="10"/>
      <c r="C40" s="11" t="s">
        <v>37</v>
      </c>
      <c r="D40" s="12">
        <f>+D39</f>
        <v>6000</v>
      </c>
      <c r="E40" s="12">
        <f>+E39</f>
        <v>3000</v>
      </c>
    </row>
    <row r="43" spans="1:6" x14ac:dyDescent="0.4">
      <c r="C43" s="38" t="s">
        <v>38</v>
      </c>
      <c r="D43" s="39">
        <f>+D37+D40</f>
        <v>31360</v>
      </c>
      <c r="E43" s="39">
        <f>+E37+E40</f>
        <v>18400</v>
      </c>
    </row>
  </sheetData>
  <mergeCells count="3">
    <mergeCell ref="B3:C3"/>
    <mergeCell ref="B4:E4"/>
    <mergeCell ref="A5:A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Matériel évalué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PINEAU</dc:creator>
  <cp:lastModifiedBy>Xavier PINEAU</cp:lastModifiedBy>
  <dcterms:created xsi:type="dcterms:W3CDTF">2025-05-14T16:31:44Z</dcterms:created>
  <dcterms:modified xsi:type="dcterms:W3CDTF">2025-08-05T14:12:27Z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Creator">
    <vt:lpwstr>Canon iR-ADV C3520 III  PDF</vt:lpwstr>
  </property>
  <property fmtid="{D5CDD505-2E9C-101B-9397-08002B2CF9AE}" pid="4" name="Producer">
    <vt:lpwstr>Adobe PSL 1.3e for Canon</vt:lpwstr>
  </property>
  <property fmtid="{D5CDD505-2E9C-101B-9397-08002B2CF9AE}" pid="5" name="LastSaved">
    <vt:filetime>2024-10-16T00:00:00Z</vt:filetime>
  </property>
</Properties>
</file>