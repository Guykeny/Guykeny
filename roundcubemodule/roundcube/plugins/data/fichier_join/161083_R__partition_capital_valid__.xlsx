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cd56c20505edb3/Documents/ENVOL GROUPE/PAIN DE CANNE/Annexes création/"/>
    </mc:Choice>
  </mc:AlternateContent>
  <xr:revisionPtr revIDLastSave="109" documentId="8_{C6CA1A27-D380-40F7-99F7-9C9A5B9CF97C}" xr6:coauthVersionLast="47" xr6:coauthVersionMax="47" xr10:uidLastSave="{048DB9C3-7EFE-4217-93F4-0791321E0A47}"/>
  <bookViews>
    <workbookView xWindow="-98" yWindow="-98" windowWidth="21795" windowHeight="12975" xr2:uid="{5490BB7D-4099-42D9-8979-1208E2401CE0}"/>
  </bookViews>
  <sheets>
    <sheet name="Capital v3" sheetId="3" r:id="rId1"/>
  </sheets>
  <definedNames>
    <definedName name="_xlnm.Print_Area" localSheetId="0">'Capital v3'!$A$1:$H$27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6" i="3"/>
  <c r="F6" i="3"/>
  <c r="C25" i="3"/>
  <c r="E15" i="3"/>
  <c r="E17" i="3" s="1"/>
  <c r="E21" i="3" s="1"/>
  <c r="D15" i="3"/>
  <c r="F15" i="3" s="1"/>
  <c r="E25" i="3" s="1"/>
  <c r="F13" i="3"/>
  <c r="F12" i="3"/>
  <c r="F11" i="3"/>
  <c r="F10" i="3"/>
  <c r="F9" i="3"/>
  <c r="F8" i="3"/>
  <c r="D17" i="3"/>
  <c r="F4" i="3"/>
  <c r="F3" i="3"/>
  <c r="C27" i="3" l="1"/>
  <c r="G9" i="3"/>
  <c r="F17" i="3"/>
  <c r="G8" i="3"/>
  <c r="G13" i="3"/>
  <c r="G12" i="3"/>
  <c r="G11" i="3"/>
  <c r="G3" i="3"/>
  <c r="G4" i="3"/>
  <c r="G10" i="3"/>
  <c r="D21" i="3"/>
  <c r="F21" i="3" s="1"/>
  <c r="D25" i="3"/>
  <c r="D26" i="3"/>
  <c r="E26" i="3"/>
  <c r="E27" i="3" s="1"/>
  <c r="D27" i="3" l="1"/>
  <c r="G21" i="3"/>
  <c r="G6" i="3"/>
  <c r="G15" i="3"/>
  <c r="F25" i="3" s="1"/>
  <c r="G17" i="3" l="1"/>
  <c r="F26" i="3"/>
  <c r="F27" i="3" s="1"/>
</calcChain>
</file>

<file path=xl/sharedStrings.xml><?xml version="1.0" encoding="utf-8"?>
<sst xmlns="http://schemas.openxmlformats.org/spreadsheetml/2006/main" count="81" uniqueCount="54">
  <si>
    <t>SIGISCAR Rodrigue</t>
  </si>
  <si>
    <t>OSSARD MAX</t>
  </si>
  <si>
    <t>Vendeuse</t>
  </si>
  <si>
    <t>Pâtissière</t>
  </si>
  <si>
    <t>Boulanger</t>
  </si>
  <si>
    <t>PINEAU Xavier</t>
  </si>
  <si>
    <t>VERGEROLE Robert</t>
  </si>
  <si>
    <t>Total</t>
  </si>
  <si>
    <t>% capital</t>
  </si>
  <si>
    <t>Montant</t>
  </si>
  <si>
    <t>Rôle / Poste</t>
  </si>
  <si>
    <t>VERIN Christie</t>
  </si>
  <si>
    <t>ABISUS Bernadette</t>
  </si>
  <si>
    <t>OTZ Aleandrine</t>
  </si>
  <si>
    <t>Observations</t>
  </si>
  <si>
    <t>Associé</t>
  </si>
  <si>
    <t>Salarié associé</t>
  </si>
  <si>
    <t>Sous-total</t>
  </si>
  <si>
    <t>Total à venir</t>
  </si>
  <si>
    <t>Nombre</t>
  </si>
  <si>
    <t>Total salariés à la création</t>
  </si>
  <si>
    <t>Total investisseurs</t>
  </si>
  <si>
    <t>Parts en %</t>
  </si>
  <si>
    <t>Montant unitaire</t>
  </si>
  <si>
    <t>Nbre de  parts</t>
  </si>
  <si>
    <t>Associés / Ass-Salarié</t>
  </si>
  <si>
    <t>Nbre</t>
  </si>
  <si>
    <t>CAPITAL SOCIAL PAIN DE CANNE</t>
  </si>
  <si>
    <t>Nbre de parts</t>
  </si>
  <si>
    <t>Parts en €</t>
  </si>
  <si>
    <t>VANON Romuald</t>
  </si>
  <si>
    <t>Grand Pierre 97134</t>
  </si>
  <si>
    <t>Investisseurs</t>
  </si>
  <si>
    <t>Investisseurs - Gérant</t>
  </si>
  <si>
    <t>176 Res. OPALE, Courbaril, Desmarais</t>
  </si>
  <si>
    <t xml:space="preserve">32 Lot Elie Jabrun </t>
  </si>
  <si>
    <t>97111 Morne-A-L'Eau</t>
  </si>
  <si>
    <t>97134 Saint-Louis</t>
  </si>
  <si>
    <t>97112 Grand-Bourg</t>
  </si>
  <si>
    <t>Lieu dit Moringlane 97112</t>
  </si>
  <si>
    <t>Adresse</t>
  </si>
  <si>
    <t>CP + Villes</t>
  </si>
  <si>
    <t>Date de naissance</t>
  </si>
  <si>
    <t>97120 Saint-Claude</t>
  </si>
  <si>
    <t>Section Passonne</t>
  </si>
  <si>
    <t>Rue du Dr Marcel ETZOL - chez ZELATEUR Abraham</t>
  </si>
  <si>
    <t>32 Rue Bertrand MARECHAUX</t>
  </si>
  <si>
    <t>97121 Anse-Bertrand</t>
  </si>
  <si>
    <t>Nancy</t>
  </si>
  <si>
    <t>Situation familiale</t>
  </si>
  <si>
    <t>97110 Pointe-A-Pitre</t>
  </si>
  <si>
    <t>Capesterre de Marie-Galante</t>
  </si>
  <si>
    <t>Célibataire</t>
  </si>
  <si>
    <t>Section Vieux-Fort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</si>
</sst>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10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44" fontId="0" fillId="0" borderId="1" xfId="1" applyFont="1" applyBorder="1" applyAlignment="1">
      <alignment wrapText="1"/>
    </xf>
    <xf numFmtId="10" fontId="0" fillId="0" borderId="1" xfId="2" applyNumberFormat="1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1" applyNumberFormat="1" applyFont="1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3" xfId="0" applyBorder="1" applyAlignment="1">
      <alignment wrapText="1"/>
    </xf>
    <xf numFmtId="44" fontId="2" fillId="0" borderId="1" xfId="1" applyFont="1" applyBorder="1" applyAlignment="1">
      <alignment wrapText="1"/>
    </xf>
    <xf numFmtId="10" fontId="2" fillId="0" borderId="1" xfId="2" applyNumberFormat="1" applyFont="1" applyBorder="1" applyAlignment="1">
      <alignment wrapText="1"/>
    </xf>
    <xf numFmtId="9" fontId="0" fillId="0" borderId="0" xfId="0" applyNumberFormat="1" applyAlignment="1">
      <alignment wrapText="1"/>
    </xf>
    <xf numFmtId="0" fontId="0" fillId="0" borderId="1" xfId="1" applyNumberFormat="1" applyFont="1" applyBorder="1" applyAlignment="1">
      <alignment wrapText="1"/>
    </xf>
    <xf numFmtId="10" fontId="0" fillId="0" borderId="1" xfId="0" applyNumberFormat="1" applyBorder="1" applyAlignment="1">
      <alignment wrapText="1"/>
    </xf>
    <xf numFmtId="10" fontId="0" fillId="0" borderId="3" xfId="0" applyNumberFormat="1" applyBorder="1" applyAlignment="1">
      <alignment wrapText="1"/>
    </xf>
    <xf numFmtId="44" fontId="0" fillId="0" borderId="4" xfId="1" applyFont="1" applyBorder="1" applyAlignment="1">
      <alignment wrapText="1"/>
    </xf>
    <xf numFmtId="10" fontId="0" fillId="0" borderId="3" xfId="2" applyNumberFormat="1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/>
    <xf numFmtId="0" fontId="0" fillId="0" borderId="5" xfId="0" applyBorder="1" applyAlignment="1">
      <alignment horizontal="center"/>
    </xf>
    <xf numFmtId="44" fontId="0" fillId="0" borderId="1" xfId="1" applyNumberFormat="1" applyFont="1" applyBorder="1" applyAlignment="1">
      <alignment wrapText="1"/>
    </xf>
    <xf numFmtId="0" fontId="0" fillId="0" borderId="1" xfId="0" applyFill="1" applyBorder="1" applyAlignment="1">
      <alignment vertical="center" wrapText="1"/>
    </xf>
    <xf numFmtId="14" fontId="0" fillId="0" borderId="1" xfId="0" applyNumberFormat="1" applyBorder="1"/>
    <xf numFmtId="9" fontId="0" fillId="0" borderId="1" xfId="2" applyFont="1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C075-C7AC-409E-87B4-0913BBC14A03}">
  <dimension ref="A1:M30"/>
  <sheetViews>
    <sheetView tabSelected="1" zoomScale="110" zoomScaleNormal="11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baseColWidth="10" defaultRowHeight="14.25" x14ac:dyDescent="0.45"/>
  <cols>
    <col min="1" max="1" width="6" customWidth="1"/>
    <col min="2" max="2" width="17.06640625" customWidth="1"/>
    <col min="3" max="3" width="28" customWidth="1"/>
    <col min="4" max="4" width="10.9296875" customWidth="1"/>
    <col min="5" max="5" width="9.06640625" customWidth="1"/>
    <col min="6" max="6" width="14" customWidth="1"/>
    <col min="7" max="7" width="16.46484375" customWidth="1"/>
    <col min="8" max="8" width="24" bestFit="1" customWidth="1"/>
    <col min="9" max="9" width="30.33203125" customWidth="1"/>
    <col min="10" max="10" width="17.46484375" bestFit="1" customWidth="1"/>
    <col min="12" max="12" width="23.265625" bestFit="1" customWidth="1"/>
  </cols>
  <sheetData>
    <row r="1" spans="1:13" x14ac:dyDescent="0.45">
      <c r="A1" s="30" t="s">
        <v>27</v>
      </c>
      <c r="B1" s="30"/>
      <c r="C1" s="30"/>
      <c r="D1" s="30"/>
      <c r="E1" s="30"/>
      <c r="F1" s="30"/>
      <c r="G1" s="30"/>
      <c r="H1" s="30"/>
    </row>
    <row r="2" spans="1:13" ht="28.5" x14ac:dyDescent="0.45">
      <c r="A2" s="10" t="s">
        <v>26</v>
      </c>
      <c r="B2" s="9" t="s">
        <v>25</v>
      </c>
      <c r="C2" s="7" t="s">
        <v>10</v>
      </c>
      <c r="D2" s="9" t="s">
        <v>9</v>
      </c>
      <c r="E2" s="9" t="s">
        <v>23</v>
      </c>
      <c r="F2" s="9" t="s">
        <v>24</v>
      </c>
      <c r="G2" s="9" t="s">
        <v>8</v>
      </c>
      <c r="H2" s="9" t="s">
        <v>14</v>
      </c>
      <c r="I2" s="32" t="s">
        <v>40</v>
      </c>
      <c r="J2" s="32" t="s">
        <v>41</v>
      </c>
      <c r="K2" s="32" t="s">
        <v>42</v>
      </c>
      <c r="L2" s="32" t="s">
        <v>41</v>
      </c>
      <c r="M2" s="32" t="s">
        <v>49</v>
      </c>
    </row>
    <row r="3" spans="1:13" x14ac:dyDescent="0.45">
      <c r="A3" s="1">
        <v>1</v>
      </c>
      <c r="B3" s="10" t="s">
        <v>6</v>
      </c>
      <c r="C3" s="1" t="s">
        <v>33</v>
      </c>
      <c r="D3" s="12">
        <v>2820</v>
      </c>
      <c r="E3" s="12">
        <v>20</v>
      </c>
      <c r="F3" s="21">
        <f>+D3/E3</f>
        <v>141</v>
      </c>
      <c r="G3" s="13">
        <f>+D3/D17</f>
        <v>0.34306569343065696</v>
      </c>
      <c r="H3" s="10" t="s">
        <v>15</v>
      </c>
      <c r="I3" s="1" t="s">
        <v>53</v>
      </c>
      <c r="J3" s="1" t="s">
        <v>37</v>
      </c>
      <c r="K3" s="33">
        <v>25572</v>
      </c>
      <c r="L3" s="1" t="s">
        <v>51</v>
      </c>
      <c r="M3" s="1" t="s">
        <v>52</v>
      </c>
    </row>
    <row r="4" spans="1:13" x14ac:dyDescent="0.45">
      <c r="A4" s="1">
        <v>2</v>
      </c>
      <c r="B4" s="10" t="s">
        <v>5</v>
      </c>
      <c r="C4" s="1" t="s">
        <v>32</v>
      </c>
      <c r="D4" s="12">
        <v>1200</v>
      </c>
      <c r="E4" s="12">
        <v>20</v>
      </c>
      <c r="F4" s="21">
        <f>+D4/E4</f>
        <v>60</v>
      </c>
      <c r="G4" s="13">
        <f>+D4/D17</f>
        <v>0.145985401459854</v>
      </c>
      <c r="H4" s="10" t="s">
        <v>15</v>
      </c>
      <c r="I4" s="1" t="s">
        <v>35</v>
      </c>
      <c r="J4" s="1" t="s">
        <v>36</v>
      </c>
      <c r="K4" s="33">
        <v>32676</v>
      </c>
      <c r="L4" s="1" t="s">
        <v>43</v>
      </c>
      <c r="M4" s="1" t="s">
        <v>52</v>
      </c>
    </row>
    <row r="5" spans="1:13" x14ac:dyDescent="0.45">
      <c r="A5" s="1"/>
      <c r="B5" s="10"/>
      <c r="C5" s="1"/>
      <c r="D5" s="12"/>
      <c r="E5" s="12"/>
      <c r="F5" s="21"/>
      <c r="G5" s="13"/>
      <c r="H5" s="10"/>
      <c r="I5" s="1"/>
      <c r="J5" s="29"/>
      <c r="K5" s="1"/>
      <c r="L5" s="1"/>
      <c r="M5" s="1"/>
    </row>
    <row r="6" spans="1:13" x14ac:dyDescent="0.45">
      <c r="A6" s="1"/>
      <c r="B6" s="10" t="s">
        <v>17</v>
      </c>
      <c r="C6" s="1"/>
      <c r="D6" s="12">
        <f>SUM(D3:D5)</f>
        <v>4020</v>
      </c>
      <c r="E6" s="12">
        <v>20</v>
      </c>
      <c r="F6" s="31">
        <f>+D6/E6</f>
        <v>201</v>
      </c>
      <c r="G6" s="13">
        <f>SUM(G3:G5)</f>
        <v>0.48905109489051096</v>
      </c>
      <c r="H6" s="10"/>
      <c r="I6" s="1"/>
      <c r="J6" s="1"/>
      <c r="K6" s="1"/>
      <c r="L6" s="1"/>
      <c r="M6" s="1"/>
    </row>
    <row r="7" spans="1:13" x14ac:dyDescent="0.45">
      <c r="A7" s="1"/>
      <c r="B7" s="10"/>
      <c r="C7" s="1"/>
      <c r="D7" s="12"/>
      <c r="E7" s="12"/>
      <c r="F7" s="21"/>
      <c r="G7" s="13"/>
      <c r="H7" s="10"/>
      <c r="I7" s="1"/>
      <c r="J7" s="1"/>
      <c r="K7" s="1"/>
      <c r="L7" s="1"/>
      <c r="M7" s="1"/>
    </row>
    <row r="8" spans="1:13" x14ac:dyDescent="0.45">
      <c r="A8" s="1">
        <v>1</v>
      </c>
      <c r="B8" s="10" t="s">
        <v>11</v>
      </c>
      <c r="C8" s="1" t="s">
        <v>2</v>
      </c>
      <c r="D8" s="12">
        <v>700</v>
      </c>
      <c r="E8" s="12">
        <v>20</v>
      </c>
      <c r="F8" s="21">
        <f t="shared" ref="F6:F11" si="0">+D8/E8</f>
        <v>35</v>
      </c>
      <c r="G8" s="13">
        <f>+D8/D17</f>
        <v>8.5158150851581502E-2</v>
      </c>
      <c r="H8" s="10" t="s">
        <v>16</v>
      </c>
      <c r="I8" s="1" t="s">
        <v>34</v>
      </c>
      <c r="J8" s="1" t="s">
        <v>37</v>
      </c>
      <c r="K8" s="33">
        <v>33962</v>
      </c>
      <c r="L8" s="1" t="s">
        <v>38</v>
      </c>
      <c r="M8" s="1" t="s">
        <v>52</v>
      </c>
    </row>
    <row r="9" spans="1:13" x14ac:dyDescent="0.45">
      <c r="A9" s="1">
        <v>2</v>
      </c>
      <c r="B9" s="10" t="s">
        <v>12</v>
      </c>
      <c r="C9" s="1" t="s">
        <v>2</v>
      </c>
      <c r="D9" s="12">
        <v>700</v>
      </c>
      <c r="E9" s="12">
        <v>20</v>
      </c>
      <c r="F9" s="21">
        <f t="shared" si="0"/>
        <v>35</v>
      </c>
      <c r="G9" s="13">
        <f>+D9/D17</f>
        <v>8.5158150851581502E-2</v>
      </c>
      <c r="H9" s="10" t="s">
        <v>16</v>
      </c>
      <c r="I9" s="1" t="s">
        <v>31</v>
      </c>
      <c r="J9" s="1" t="s">
        <v>37</v>
      </c>
      <c r="K9" s="33">
        <v>23517</v>
      </c>
      <c r="L9" s="1" t="s">
        <v>38</v>
      </c>
      <c r="M9" s="1" t="s">
        <v>52</v>
      </c>
    </row>
    <row r="10" spans="1:13" x14ac:dyDescent="0.45">
      <c r="A10" s="1">
        <v>3</v>
      </c>
      <c r="B10" s="10" t="s">
        <v>13</v>
      </c>
      <c r="C10" s="1" t="s">
        <v>3</v>
      </c>
      <c r="D10" s="12">
        <v>700</v>
      </c>
      <c r="E10" s="12">
        <v>20</v>
      </c>
      <c r="F10" s="21">
        <f t="shared" si="0"/>
        <v>35</v>
      </c>
      <c r="G10" s="13">
        <f>+D10/D17</f>
        <v>8.5158150851581502E-2</v>
      </c>
      <c r="H10" s="10" t="s">
        <v>16</v>
      </c>
      <c r="I10" s="1" t="s">
        <v>39</v>
      </c>
      <c r="J10" s="1" t="s">
        <v>38</v>
      </c>
      <c r="K10" s="33">
        <v>23500</v>
      </c>
      <c r="L10" s="1" t="s">
        <v>38</v>
      </c>
      <c r="M10" s="1" t="s">
        <v>52</v>
      </c>
    </row>
    <row r="11" spans="1:13" x14ac:dyDescent="0.45">
      <c r="A11" s="1">
        <v>4</v>
      </c>
      <c r="B11" s="10" t="s">
        <v>1</v>
      </c>
      <c r="C11" s="1" t="s">
        <v>4</v>
      </c>
      <c r="D11" s="12">
        <v>700</v>
      </c>
      <c r="E11" s="12">
        <v>20</v>
      </c>
      <c r="F11" s="21">
        <f t="shared" si="0"/>
        <v>35</v>
      </c>
      <c r="G11" s="13">
        <f>+D11/D17</f>
        <v>8.5158150851581502E-2</v>
      </c>
      <c r="H11" s="10" t="s">
        <v>16</v>
      </c>
      <c r="I11" s="1" t="s">
        <v>46</v>
      </c>
      <c r="J11" s="1" t="s">
        <v>47</v>
      </c>
      <c r="K11" s="33">
        <v>23362</v>
      </c>
      <c r="L11" s="1" t="s">
        <v>50</v>
      </c>
      <c r="M11" s="1" t="s">
        <v>52</v>
      </c>
    </row>
    <row r="12" spans="1:13" x14ac:dyDescent="0.45">
      <c r="A12" s="1">
        <v>5</v>
      </c>
      <c r="B12" s="10" t="s">
        <v>0</v>
      </c>
      <c r="C12" s="1" t="s">
        <v>4</v>
      </c>
      <c r="D12" s="12">
        <v>700</v>
      </c>
      <c r="E12" s="12">
        <v>20</v>
      </c>
      <c r="F12" s="21">
        <f>+D12/E12</f>
        <v>35</v>
      </c>
      <c r="G12" s="13">
        <f>+D12/D17</f>
        <v>8.5158150851581502E-2</v>
      </c>
      <c r="H12" s="10" t="s">
        <v>16</v>
      </c>
      <c r="I12" s="1" t="s">
        <v>45</v>
      </c>
      <c r="J12" s="1" t="s">
        <v>38</v>
      </c>
      <c r="K12" s="33">
        <v>26473</v>
      </c>
      <c r="L12" s="1" t="s">
        <v>48</v>
      </c>
      <c r="M12" s="1" t="s">
        <v>52</v>
      </c>
    </row>
    <row r="13" spans="1:13" x14ac:dyDescent="0.45">
      <c r="A13" s="1">
        <v>6</v>
      </c>
      <c r="B13" s="10" t="s">
        <v>30</v>
      </c>
      <c r="C13" s="1" t="s">
        <v>4</v>
      </c>
      <c r="D13" s="12">
        <v>700</v>
      </c>
      <c r="E13" s="12">
        <v>20</v>
      </c>
      <c r="F13" s="21">
        <f>+D13/E13</f>
        <v>35</v>
      </c>
      <c r="G13" s="13">
        <f>+D13/D17</f>
        <v>8.5158150851581502E-2</v>
      </c>
      <c r="H13" s="10" t="s">
        <v>16</v>
      </c>
      <c r="I13" s="1" t="s">
        <v>44</v>
      </c>
      <c r="J13" s="1" t="s">
        <v>38</v>
      </c>
      <c r="K13" s="33">
        <v>29631</v>
      </c>
      <c r="L13" s="1" t="s">
        <v>38</v>
      </c>
      <c r="M13" s="1" t="s">
        <v>52</v>
      </c>
    </row>
    <row r="14" spans="1:13" x14ac:dyDescent="0.45">
      <c r="A14" s="3"/>
      <c r="B14" s="14"/>
      <c r="C14" s="6"/>
      <c r="D14" s="24"/>
      <c r="E14" s="24"/>
      <c r="F14" s="15"/>
      <c r="G14" s="25"/>
      <c r="H14" s="10"/>
      <c r="I14" s="1"/>
      <c r="J14" s="1"/>
      <c r="K14" s="1"/>
      <c r="L14" s="1"/>
      <c r="M14" s="1"/>
    </row>
    <row r="15" spans="1:13" x14ac:dyDescent="0.45">
      <c r="A15" s="1"/>
      <c r="B15" s="10" t="s">
        <v>17</v>
      </c>
      <c r="C15" s="1"/>
      <c r="D15" s="12">
        <f>SUM(D8:D14)</f>
        <v>4200</v>
      </c>
      <c r="E15" s="12">
        <f>+E12</f>
        <v>20</v>
      </c>
      <c r="F15" s="21">
        <f>+D15/E15</f>
        <v>210</v>
      </c>
      <c r="G15" s="13">
        <f>SUM(G8:G14)</f>
        <v>0.51094890510948898</v>
      </c>
      <c r="H15" s="10"/>
      <c r="I15" s="1"/>
      <c r="J15" s="1"/>
      <c r="K15" s="1"/>
      <c r="L15" s="1"/>
      <c r="M15" s="1"/>
    </row>
    <row r="16" spans="1:13" x14ac:dyDescent="0.45">
      <c r="A16" s="3"/>
      <c r="B16" s="14"/>
      <c r="C16" s="6"/>
      <c r="D16" s="14"/>
      <c r="E16" s="14"/>
      <c r="F16" s="15"/>
      <c r="G16" s="23"/>
      <c r="H16" s="10"/>
      <c r="I16" s="1"/>
      <c r="J16" s="1"/>
      <c r="K16" s="1"/>
      <c r="L16" s="1"/>
      <c r="M16" s="1"/>
    </row>
    <row r="17" spans="1:13" x14ac:dyDescent="0.45">
      <c r="A17" s="1"/>
      <c r="B17" s="11" t="s">
        <v>7</v>
      </c>
      <c r="C17" s="2"/>
      <c r="D17" s="18">
        <f>+D6+D15</f>
        <v>8220</v>
      </c>
      <c r="E17" s="12">
        <f>+E15</f>
        <v>20</v>
      </c>
      <c r="F17" s="21">
        <f>+D17/E17</f>
        <v>411</v>
      </c>
      <c r="G17" s="19">
        <f>+G6+G15</f>
        <v>1</v>
      </c>
      <c r="H17" s="10"/>
      <c r="I17" s="1"/>
      <c r="J17" s="1"/>
      <c r="K17" s="34"/>
      <c r="L17" s="1"/>
      <c r="M17" s="1"/>
    </row>
    <row r="18" spans="1:13" x14ac:dyDescent="0.45">
      <c r="A18" s="3"/>
      <c r="B18" s="14"/>
      <c r="C18" s="5"/>
      <c r="D18" s="10"/>
      <c r="E18" s="10"/>
      <c r="F18" s="26"/>
      <c r="G18" s="16"/>
      <c r="H18" s="17"/>
      <c r="I18" s="1"/>
      <c r="J18" s="1"/>
      <c r="K18" s="1"/>
      <c r="L18" s="1"/>
      <c r="M18" s="1"/>
    </row>
    <row r="19" spans="1:13" x14ac:dyDescent="0.45">
      <c r="A19" s="1"/>
      <c r="B19" s="10"/>
      <c r="C19" s="1"/>
      <c r="D19" s="12"/>
      <c r="E19" s="12"/>
      <c r="F19" s="21"/>
      <c r="G19" s="13"/>
      <c r="H19" s="10"/>
      <c r="I19" s="1"/>
      <c r="J19" s="1"/>
      <c r="K19" s="1"/>
      <c r="L19" s="1"/>
      <c r="M19" s="1"/>
    </row>
    <row r="20" spans="1:13" x14ac:dyDescent="0.45">
      <c r="A20" s="1"/>
      <c r="B20" s="10"/>
      <c r="C20" s="1"/>
      <c r="D20" s="12"/>
      <c r="E20" s="12"/>
      <c r="F20" s="21"/>
      <c r="G20" s="13"/>
      <c r="H20" s="10"/>
      <c r="I20" s="1"/>
      <c r="J20" s="1"/>
      <c r="K20" s="1"/>
      <c r="L20" s="1"/>
      <c r="M20" s="1"/>
    </row>
    <row r="21" spans="1:13" x14ac:dyDescent="0.45">
      <c r="A21" s="1"/>
      <c r="B21" s="10" t="s">
        <v>18</v>
      </c>
      <c r="C21" s="1"/>
      <c r="D21" s="12">
        <f>+D17+D19</f>
        <v>8220</v>
      </c>
      <c r="E21" s="12">
        <f>+E17</f>
        <v>20</v>
      </c>
      <c r="F21" s="21">
        <f>+D21/E21</f>
        <v>411</v>
      </c>
      <c r="G21" s="13">
        <f>+(D17/D21)+G19</f>
        <v>1</v>
      </c>
      <c r="H21" s="10"/>
      <c r="I21" s="1"/>
      <c r="J21" s="1"/>
      <c r="K21" s="1"/>
      <c r="L21" s="1"/>
      <c r="M21" s="1"/>
    </row>
    <row r="22" spans="1:13" x14ac:dyDescent="0.45">
      <c r="B22" s="8"/>
      <c r="D22" s="8"/>
      <c r="E22" s="8"/>
      <c r="F22" s="8"/>
      <c r="G22" s="20"/>
      <c r="H22" s="8"/>
    </row>
    <row r="23" spans="1:13" x14ac:dyDescent="0.45">
      <c r="B23" s="8"/>
      <c r="D23" s="8"/>
      <c r="E23" s="8"/>
      <c r="F23" s="8"/>
      <c r="G23" s="8"/>
      <c r="H23" s="8"/>
    </row>
    <row r="24" spans="1:13" ht="28.5" x14ac:dyDescent="0.45">
      <c r="B24" s="27"/>
      <c r="C24" s="28" t="s">
        <v>19</v>
      </c>
      <c r="D24" s="1" t="s">
        <v>29</v>
      </c>
      <c r="E24" s="27" t="s">
        <v>28</v>
      </c>
      <c r="F24" s="27" t="s">
        <v>22</v>
      </c>
      <c r="G24" s="8"/>
      <c r="H24" s="8"/>
    </row>
    <row r="25" spans="1:13" ht="28.5" x14ac:dyDescent="0.45">
      <c r="B25" s="10" t="s">
        <v>20</v>
      </c>
      <c r="C25" s="1">
        <f>+A13</f>
        <v>6</v>
      </c>
      <c r="D25" s="29">
        <f>+D15</f>
        <v>4200</v>
      </c>
      <c r="E25" s="10">
        <f>+F15</f>
        <v>210</v>
      </c>
      <c r="F25" s="22">
        <f>+G15</f>
        <v>0.51094890510948898</v>
      </c>
      <c r="G25" s="8"/>
      <c r="H25" s="8"/>
    </row>
    <row r="26" spans="1:13" x14ac:dyDescent="0.45">
      <c r="B26" s="10" t="s">
        <v>21</v>
      </c>
      <c r="C26" s="1">
        <f>A4</f>
        <v>2</v>
      </c>
      <c r="D26" s="29">
        <f>+D6</f>
        <v>4020</v>
      </c>
      <c r="E26" s="10">
        <f>+F6</f>
        <v>201</v>
      </c>
      <c r="F26" s="22">
        <f>+G6</f>
        <v>0.48905109489051096</v>
      </c>
      <c r="G26" s="8"/>
      <c r="H26" s="8"/>
    </row>
    <row r="27" spans="1:13" x14ac:dyDescent="0.45">
      <c r="B27" s="10" t="s">
        <v>7</v>
      </c>
      <c r="C27" s="1">
        <f>+C25+C26</f>
        <v>8</v>
      </c>
      <c r="D27" s="29">
        <f>+D25+D26</f>
        <v>8220</v>
      </c>
      <c r="E27" s="10">
        <f>+E25+E26</f>
        <v>411</v>
      </c>
      <c r="F27" s="22">
        <f>+F25+F26</f>
        <v>1</v>
      </c>
      <c r="G27" s="8"/>
      <c r="H27" s="8"/>
    </row>
    <row r="29" spans="1:13" x14ac:dyDescent="0.45">
      <c r="B29" s="8"/>
      <c r="C29" s="4"/>
      <c r="G29" s="4"/>
    </row>
    <row r="30" spans="1:13" x14ac:dyDescent="0.45">
      <c r="B30" s="8"/>
      <c r="C30" s="4"/>
      <c r="G30" s="4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Capital v3</vt:lpstr>
      <vt:lpstr>'Capital v3'!Zone_d_impression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PINEAU</dc:creator>
  <cp:lastModifiedBy>Xavier PINEAU</cp:lastModifiedBy>
  <cp:lastPrinted>2025-07-23T15:55:22Z</cp:lastPrinted>
  <dcterms:created xsi:type="dcterms:W3CDTF">2025-07-20T22:31:19Z</dcterms:created>
  <dcterms:modified xsi:type="dcterms:W3CDTF">2025-08-05T13:06:28Z</dcterms:modified>
</cp:coreProperties>
</file>